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GST\DPB-GST\DPB GSTR 2026-27\04 JULY 2026\"/>
    </mc:Choice>
  </mc:AlternateContent>
  <xr:revisionPtr revIDLastSave="0" documentId="13_ncr:1_{0677B8A3-95FA-4AFE-B22D-657BF0F78701}" xr6:coauthVersionLast="47" xr6:coauthVersionMax="47" xr10:uidLastSave="{00000000-0000-0000-0000-000000000000}"/>
  <bookViews>
    <workbookView xWindow="-120" yWindow="-120" windowWidth="21840" windowHeight="13140" xr2:uid="{18BD1DC3-95CF-4FE4-9E07-B93FE7EBD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H29" i="1"/>
  <c r="J29" i="1"/>
  <c r="M29" i="1"/>
</calcChain>
</file>

<file path=xl/sharedStrings.xml><?xml version="1.0" encoding="utf-8"?>
<sst xmlns="http://schemas.openxmlformats.org/spreadsheetml/2006/main" count="73" uniqueCount="57">
  <si>
    <t>01- DEVENDRA PANNALAL BACHKANIWALA</t>
  </si>
  <si>
    <t>Sales Register Printing</t>
  </si>
  <si>
    <t>Sales Register From 01-07-26 TO 31-07-26</t>
  </si>
  <si>
    <t>Gst No</t>
  </si>
  <si>
    <t>Party Name</t>
  </si>
  <si>
    <t>Date</t>
  </si>
  <si>
    <t>State</t>
  </si>
  <si>
    <t>SGST %</t>
  </si>
  <si>
    <t>SGST Amt</t>
  </si>
  <si>
    <t>CGST %</t>
  </si>
  <si>
    <t>CGST Amt</t>
  </si>
  <si>
    <t>IGST %</t>
  </si>
  <si>
    <t>IGST Amt</t>
  </si>
  <si>
    <t>Taxable Amt</t>
  </si>
  <si>
    <t>GS1 - GST 18% UN REG.</t>
  </si>
  <si>
    <t>MAHALAXMI STEEL</t>
  </si>
  <si>
    <t>MAHENDRA G.  BABARIYA</t>
  </si>
  <si>
    <t>PIYUSH JAGDISHBHAI ZALAWADIYA - RENT</t>
  </si>
  <si>
    <t>J-816 PRAVIN P. NANDVANI</t>
  </si>
  <si>
    <t>GST - GST 18 %</t>
  </si>
  <si>
    <t>24BQMPV2951G1ZI</t>
  </si>
  <si>
    <t>HIGH CUSTOM JEWELLERS</t>
  </si>
  <si>
    <t>24-Gujarat</t>
  </si>
  <si>
    <t>24JXCPS5254Q1ZM</t>
  </si>
  <si>
    <t>NILKANTH JEWELLERS</t>
  </si>
  <si>
    <t>24AALFL1229P1Z0</t>
  </si>
  <si>
    <t>LEO JEWELLERS</t>
  </si>
  <si>
    <t>24ABYFM4838M1ZD</t>
  </si>
  <si>
    <t>MUNI JEWELS - RENT</t>
  </si>
  <si>
    <t>24AAYFG2300D1ZR</t>
  </si>
  <si>
    <t>GLAMOUR JEWELLERS</t>
  </si>
  <si>
    <t>24CQSPN8217L1Z5</t>
  </si>
  <si>
    <t>PRAGALBH JEWELS (PRO SAHIL HITESH NAROLA</t>
  </si>
  <si>
    <t>24ABRFM8257F1ZU</t>
  </si>
  <si>
    <t>MUMUKSH IMPEX LLP</t>
  </si>
  <si>
    <t>24AOCPR8615J1ZP</t>
  </si>
  <si>
    <t>VANDANA TRADING</t>
  </si>
  <si>
    <t>24AANHV2847P1ZA</t>
  </si>
  <si>
    <t>J-818 VINAY SHARMA HUF</t>
  </si>
  <si>
    <t>24AHXPB2695J1ZV</t>
  </si>
  <si>
    <t xml:space="preserve">J-819 KARTIK MODELING </t>
  </si>
  <si>
    <t>24ACZPM2554Q3ZM</t>
  </si>
  <si>
    <t>J-822A CHAHAT IMAGES</t>
  </si>
  <si>
    <t>TF - TAX FREE</t>
  </si>
  <si>
    <t xml:space="preserve">SUDHIR DHIRUBHAI BHUVA (RAJHANS) </t>
  </si>
  <si>
    <t>RES/14</t>
  </si>
  <si>
    <t>NILESH MANOHARLAL LADHANI-RENT</t>
  </si>
  <si>
    <t>RES/15</t>
  </si>
  <si>
    <t>FLAT NO.1101 CHIRAG RAJESH MAKWANA-RENT</t>
  </si>
  <si>
    <t>RES/16</t>
  </si>
  <si>
    <t>Bill No</t>
  </si>
  <si>
    <t xml:space="preserve">TOTAL FOR GST 18% UN REG. : </t>
  </si>
  <si>
    <t xml:space="preserve">TOTAL FOR GST 18 % REG : </t>
  </si>
  <si>
    <t xml:space="preserve">TOTAL FOR GST 18 % : </t>
  </si>
  <si>
    <t xml:space="preserve">TOTAL FOR TAX FREE : </t>
  </si>
  <si>
    <t xml:space="preserve">GRAND TOTAL : </t>
  </si>
  <si>
    <t>Bill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</si>
</sst>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2" fontId="0" fillId="0" borderId="0" xfId="0" applyNumberFormat="1"/>
    <xf numFmtId="0" fontId="3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9B0F-19EF-4E7A-A1FB-668A65991838}">
  <dimension ref="A1:M36"/>
  <sheetViews>
    <sheetView tabSelected="1" topLeftCell="A8" workbookViewId="0">
      <selection activeCell="A12" sqref="A12:XFD12"/>
    </sheetView>
  </sheetViews>
  <sheetFormatPr defaultRowHeight="15" x14ac:dyDescent="0.25"/>
  <cols>
    <col min="1" max="1" width="18.28515625" customWidth="1"/>
    <col min="2" max="2" width="37.140625" customWidth="1"/>
    <col min="3" max="3" width="9.140625" customWidth="1"/>
    <col min="4" max="4" width="9.85546875" customWidth="1"/>
    <col min="5" max="5" width="10.7109375" customWidth="1"/>
    <col min="6" max="6" width="10.140625" bestFit="1" customWidth="1"/>
    <col min="7" max="7" width="6" customWidth="1"/>
    <col min="8" max="8" width="9.42578125" bestFit="1" customWidth="1"/>
    <col min="9" max="9" width="6.28515625" customWidth="1"/>
    <col min="10" max="10" width="9.5703125" bestFit="1" customWidth="1"/>
    <col min="11" max="11" width="5.5703125" customWidth="1"/>
    <col min="12" max="12" width="7.140625" customWidth="1"/>
    <col min="13" max="13" width="12" bestFit="1" customWidth="1"/>
  </cols>
  <sheetData>
    <row r="1" spans="1:13" x14ac:dyDescent="0.25">
      <c r="A1" s="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5" spans="1:13" ht="30" x14ac:dyDescent="0.25">
      <c r="A5" s="2" t="s">
        <v>3</v>
      </c>
      <c r="B5" s="2" t="s">
        <v>4</v>
      </c>
      <c r="C5" s="2" t="s">
        <v>50</v>
      </c>
      <c r="D5" s="2" t="s">
        <v>5</v>
      </c>
      <c r="E5" s="2" t="s">
        <v>56</v>
      </c>
      <c r="F5" s="2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2" t="s">
        <v>13</v>
      </c>
    </row>
    <row r="6" spans="1:13" x14ac:dyDescent="0.25">
      <c r="C6" s="5" t="s">
        <v>14</v>
      </c>
    </row>
    <row r="7" spans="1:13" x14ac:dyDescent="0.25">
      <c r="B7" t="s">
        <v>15</v>
      </c>
      <c r="C7" s="6">
        <v>59</v>
      </c>
      <c r="D7" s="7">
        <v>46204</v>
      </c>
      <c r="E7" s="8">
        <v>13452</v>
      </c>
      <c r="G7" s="6">
        <v>9</v>
      </c>
      <c r="H7" s="8">
        <v>1026</v>
      </c>
      <c r="I7" s="6">
        <v>9</v>
      </c>
      <c r="J7" s="8">
        <v>1026</v>
      </c>
      <c r="K7" s="6">
        <v>0</v>
      </c>
      <c r="L7" s="8">
        <v>0</v>
      </c>
      <c r="M7" s="8">
        <v>11400</v>
      </c>
    </row>
    <row r="8" spans="1:13" x14ac:dyDescent="0.25">
      <c r="B8" t="s">
        <v>16</v>
      </c>
      <c r="C8" s="6">
        <v>60</v>
      </c>
      <c r="D8" s="7">
        <v>46204</v>
      </c>
      <c r="E8" s="8">
        <v>5134</v>
      </c>
      <c r="G8" s="6">
        <v>9</v>
      </c>
      <c r="H8" s="8">
        <v>392</v>
      </c>
      <c r="I8" s="6">
        <v>9</v>
      </c>
      <c r="J8" s="8">
        <v>392</v>
      </c>
      <c r="K8" s="6">
        <v>0</v>
      </c>
      <c r="L8" s="8">
        <v>0</v>
      </c>
      <c r="M8" s="8">
        <v>4350</v>
      </c>
    </row>
    <row r="9" spans="1:13" x14ac:dyDescent="0.25">
      <c r="B9" t="s">
        <v>17</v>
      </c>
      <c r="C9" s="6">
        <v>68</v>
      </c>
      <c r="D9" s="7">
        <v>46204</v>
      </c>
      <c r="E9" s="8">
        <v>22126</v>
      </c>
      <c r="G9" s="6">
        <v>9</v>
      </c>
      <c r="H9" s="8">
        <v>1688</v>
      </c>
      <c r="I9" s="6">
        <v>9</v>
      </c>
      <c r="J9" s="8">
        <v>1688</v>
      </c>
      <c r="K9" s="6">
        <v>0</v>
      </c>
      <c r="L9" s="8">
        <v>0</v>
      </c>
      <c r="M9" s="8">
        <v>18750</v>
      </c>
    </row>
    <row r="10" spans="1:13" x14ac:dyDescent="0.25">
      <c r="B10" t="s">
        <v>18</v>
      </c>
      <c r="C10" s="6">
        <v>72</v>
      </c>
      <c r="D10" s="7">
        <v>46204</v>
      </c>
      <c r="E10" s="8">
        <v>8260</v>
      </c>
      <c r="G10" s="6">
        <v>9</v>
      </c>
      <c r="H10" s="8">
        <v>630</v>
      </c>
      <c r="I10" s="6">
        <v>9</v>
      </c>
      <c r="J10" s="8">
        <v>630</v>
      </c>
      <c r="K10" s="6">
        <v>0</v>
      </c>
      <c r="L10" s="8">
        <v>0</v>
      </c>
      <c r="M10" s="8">
        <v>7000</v>
      </c>
    </row>
    <row r="11" spans="1:13" x14ac:dyDescent="0.25">
      <c r="B11" s="4" t="s">
        <v>51</v>
      </c>
      <c r="C11" s="1"/>
      <c r="D11" s="1"/>
      <c r="E11" s="10">
        <v>48972</v>
      </c>
      <c r="F11" s="1"/>
      <c r="G11" s="1"/>
      <c r="H11" s="10">
        <v>3736</v>
      </c>
      <c r="I11" s="1"/>
      <c r="J11" s="10">
        <v>3736</v>
      </c>
      <c r="K11" s="1"/>
      <c r="L11" s="10">
        <v>0</v>
      </c>
      <c r="M11" s="10">
        <v>41500</v>
      </c>
    </row>
    <row r="12" spans="1:13" x14ac:dyDescent="0.25">
      <c r="B12" s="4"/>
      <c r="C12" s="1"/>
      <c r="D12" s="1"/>
      <c r="E12" s="10"/>
      <c r="F12" s="1"/>
      <c r="G12" s="1"/>
      <c r="H12" s="10"/>
      <c r="I12" s="1"/>
      <c r="J12" s="10"/>
      <c r="K12" s="1"/>
      <c r="L12" s="10"/>
      <c r="M12" s="10"/>
    </row>
    <row r="13" spans="1:13" x14ac:dyDescent="0.25">
      <c r="C13" s="5" t="s">
        <v>19</v>
      </c>
    </row>
    <row r="14" spans="1:13" x14ac:dyDescent="0.25">
      <c r="A14" t="s">
        <v>20</v>
      </c>
      <c r="B14" t="s">
        <v>21</v>
      </c>
      <c r="C14" s="6">
        <v>61</v>
      </c>
      <c r="D14" s="7">
        <v>46204</v>
      </c>
      <c r="E14" s="8">
        <v>19470</v>
      </c>
      <c r="F14" s="6" t="s">
        <v>22</v>
      </c>
      <c r="G14" s="6">
        <v>9</v>
      </c>
      <c r="H14" s="8">
        <v>1485</v>
      </c>
      <c r="I14" s="6">
        <v>9</v>
      </c>
      <c r="J14" s="8">
        <v>1485</v>
      </c>
      <c r="K14" s="6">
        <v>0</v>
      </c>
      <c r="L14" s="8">
        <v>0</v>
      </c>
      <c r="M14" s="8">
        <v>16500</v>
      </c>
    </row>
    <row r="15" spans="1:13" x14ac:dyDescent="0.25">
      <c r="A15" t="s">
        <v>23</v>
      </c>
      <c r="B15" t="s">
        <v>24</v>
      </c>
      <c r="C15" s="6">
        <v>62</v>
      </c>
      <c r="D15" s="7">
        <v>46204</v>
      </c>
      <c r="E15" s="8">
        <v>18408</v>
      </c>
      <c r="F15" s="6" t="s">
        <v>22</v>
      </c>
      <c r="G15" s="6">
        <v>9</v>
      </c>
      <c r="H15" s="8">
        <v>1404</v>
      </c>
      <c r="I15" s="6">
        <v>9</v>
      </c>
      <c r="J15" s="8">
        <v>1404</v>
      </c>
      <c r="K15" s="6">
        <v>0</v>
      </c>
      <c r="L15" s="8">
        <v>0</v>
      </c>
      <c r="M15" s="8">
        <v>15600</v>
      </c>
    </row>
    <row r="16" spans="1:13" x14ac:dyDescent="0.25">
      <c r="A16" t="s">
        <v>25</v>
      </c>
      <c r="B16" t="s">
        <v>26</v>
      </c>
      <c r="C16" s="6">
        <v>63</v>
      </c>
      <c r="D16" s="7">
        <v>46204</v>
      </c>
      <c r="E16" s="8">
        <v>17435</v>
      </c>
      <c r="F16" s="6" t="s">
        <v>22</v>
      </c>
      <c r="G16" s="6">
        <v>9</v>
      </c>
      <c r="H16" s="8">
        <v>1330</v>
      </c>
      <c r="I16" s="6">
        <v>9</v>
      </c>
      <c r="J16" s="8">
        <v>1330</v>
      </c>
      <c r="K16" s="6">
        <v>0</v>
      </c>
      <c r="L16" s="8">
        <v>0</v>
      </c>
      <c r="M16" s="8">
        <v>14775</v>
      </c>
    </row>
    <row r="17" spans="1:13" x14ac:dyDescent="0.25">
      <c r="A17" t="s">
        <v>27</v>
      </c>
      <c r="B17" t="s">
        <v>28</v>
      </c>
      <c r="C17" s="6">
        <v>64</v>
      </c>
      <c r="D17" s="7">
        <v>46204</v>
      </c>
      <c r="E17" s="8">
        <v>19294</v>
      </c>
      <c r="F17" s="6" t="s">
        <v>22</v>
      </c>
      <c r="G17" s="6">
        <v>9</v>
      </c>
      <c r="H17" s="8">
        <v>1472</v>
      </c>
      <c r="I17" s="6">
        <v>9</v>
      </c>
      <c r="J17" s="8">
        <v>1472</v>
      </c>
      <c r="K17" s="6">
        <v>0</v>
      </c>
      <c r="L17" s="8">
        <v>0</v>
      </c>
      <c r="M17" s="8">
        <v>16350</v>
      </c>
    </row>
    <row r="18" spans="1:13" x14ac:dyDescent="0.25">
      <c r="A18" t="s">
        <v>29</v>
      </c>
      <c r="B18" t="s">
        <v>30</v>
      </c>
      <c r="C18" s="6">
        <v>65</v>
      </c>
      <c r="D18" s="7">
        <v>46204</v>
      </c>
      <c r="E18" s="8">
        <v>21859</v>
      </c>
      <c r="F18" s="6" t="s">
        <v>22</v>
      </c>
      <c r="G18" s="6">
        <v>9</v>
      </c>
      <c r="H18" s="8">
        <v>1667</v>
      </c>
      <c r="I18" s="6">
        <v>9</v>
      </c>
      <c r="J18" s="8">
        <v>1667</v>
      </c>
      <c r="K18" s="6">
        <v>0</v>
      </c>
      <c r="L18" s="8">
        <v>0</v>
      </c>
      <c r="M18" s="8">
        <v>18525</v>
      </c>
    </row>
    <row r="19" spans="1:13" x14ac:dyDescent="0.25">
      <c r="A19" t="s">
        <v>31</v>
      </c>
      <c r="B19" s="9" t="s">
        <v>32</v>
      </c>
      <c r="C19" s="6">
        <v>66</v>
      </c>
      <c r="D19" s="7">
        <v>46204</v>
      </c>
      <c r="E19" s="8">
        <v>15930</v>
      </c>
      <c r="F19" s="6" t="s">
        <v>22</v>
      </c>
      <c r="G19" s="6">
        <v>9</v>
      </c>
      <c r="H19" s="8">
        <v>1215</v>
      </c>
      <c r="I19" s="6">
        <v>9</v>
      </c>
      <c r="J19" s="8">
        <v>1215</v>
      </c>
      <c r="K19" s="6">
        <v>0</v>
      </c>
      <c r="L19" s="8">
        <v>0</v>
      </c>
      <c r="M19" s="8">
        <v>13500</v>
      </c>
    </row>
    <row r="20" spans="1:13" x14ac:dyDescent="0.25">
      <c r="A20" t="s">
        <v>20</v>
      </c>
      <c r="B20" t="s">
        <v>21</v>
      </c>
      <c r="C20" s="6">
        <v>67</v>
      </c>
      <c r="D20" s="7">
        <v>46204</v>
      </c>
      <c r="E20" s="8">
        <v>21329</v>
      </c>
      <c r="F20" s="6" t="s">
        <v>22</v>
      </c>
      <c r="G20" s="6">
        <v>9</v>
      </c>
      <c r="H20" s="8">
        <v>1627</v>
      </c>
      <c r="I20" s="6">
        <v>9</v>
      </c>
      <c r="J20" s="8">
        <v>1627</v>
      </c>
      <c r="K20" s="6">
        <v>0</v>
      </c>
      <c r="L20" s="8">
        <v>0</v>
      </c>
      <c r="M20" s="8">
        <v>18075</v>
      </c>
    </row>
    <row r="21" spans="1:13" x14ac:dyDescent="0.25">
      <c r="A21" t="s">
        <v>33</v>
      </c>
      <c r="B21" t="s">
        <v>34</v>
      </c>
      <c r="C21" s="6">
        <v>69</v>
      </c>
      <c r="D21" s="7">
        <v>46204</v>
      </c>
      <c r="E21" s="8">
        <v>19530</v>
      </c>
      <c r="F21" s="6" t="s">
        <v>22</v>
      </c>
      <c r="G21" s="6">
        <v>9</v>
      </c>
      <c r="H21" s="8">
        <v>1490</v>
      </c>
      <c r="I21" s="6">
        <v>9</v>
      </c>
      <c r="J21" s="8">
        <v>1490</v>
      </c>
      <c r="K21" s="6">
        <v>0</v>
      </c>
      <c r="L21" s="8">
        <v>0</v>
      </c>
      <c r="M21" s="8">
        <v>16550</v>
      </c>
    </row>
    <row r="22" spans="1:13" x14ac:dyDescent="0.25">
      <c r="A22" t="s">
        <v>33</v>
      </c>
      <c r="B22" t="s">
        <v>34</v>
      </c>
      <c r="C22" s="6">
        <v>70</v>
      </c>
      <c r="D22" s="7">
        <v>46204</v>
      </c>
      <c r="E22" s="8">
        <v>17582</v>
      </c>
      <c r="F22" s="6" t="s">
        <v>22</v>
      </c>
      <c r="G22" s="6">
        <v>9</v>
      </c>
      <c r="H22" s="8">
        <v>1341</v>
      </c>
      <c r="I22" s="6">
        <v>9</v>
      </c>
      <c r="J22" s="8">
        <v>1341</v>
      </c>
      <c r="K22" s="6">
        <v>0</v>
      </c>
      <c r="L22" s="8">
        <v>0</v>
      </c>
      <c r="M22" s="8">
        <v>14900</v>
      </c>
    </row>
    <row r="23" spans="1:13" x14ac:dyDescent="0.25">
      <c r="A23" t="s">
        <v>35</v>
      </c>
      <c r="B23" t="s">
        <v>36</v>
      </c>
      <c r="C23" s="6">
        <v>71</v>
      </c>
      <c r="D23" s="7">
        <v>46204</v>
      </c>
      <c r="E23" s="8">
        <v>18998</v>
      </c>
      <c r="F23" s="6" t="s">
        <v>22</v>
      </c>
      <c r="G23" s="6">
        <v>9</v>
      </c>
      <c r="H23" s="8">
        <v>1449</v>
      </c>
      <c r="I23" s="6">
        <v>9</v>
      </c>
      <c r="J23" s="8">
        <v>1449</v>
      </c>
      <c r="K23" s="6">
        <v>0</v>
      </c>
      <c r="L23" s="8">
        <v>0</v>
      </c>
      <c r="M23" s="8">
        <v>16100</v>
      </c>
    </row>
    <row r="24" spans="1:13" x14ac:dyDescent="0.25">
      <c r="A24" t="s">
        <v>37</v>
      </c>
      <c r="B24" t="s">
        <v>38</v>
      </c>
      <c r="C24" s="6">
        <v>73</v>
      </c>
      <c r="D24" s="7">
        <v>46204</v>
      </c>
      <c r="E24" s="8">
        <v>8260</v>
      </c>
      <c r="F24" s="6" t="s">
        <v>22</v>
      </c>
      <c r="G24" s="6">
        <v>9</v>
      </c>
      <c r="H24" s="8">
        <v>630</v>
      </c>
      <c r="I24" s="6">
        <v>9</v>
      </c>
      <c r="J24" s="8">
        <v>630</v>
      </c>
      <c r="K24" s="6">
        <v>0</v>
      </c>
      <c r="L24" s="8">
        <v>0</v>
      </c>
      <c r="M24" s="8">
        <v>7000</v>
      </c>
    </row>
    <row r="25" spans="1:13" x14ac:dyDescent="0.25">
      <c r="A25" t="s">
        <v>39</v>
      </c>
      <c r="B25" t="s">
        <v>40</v>
      </c>
      <c r="C25" s="6">
        <v>74</v>
      </c>
      <c r="D25" s="7">
        <v>46204</v>
      </c>
      <c r="E25" s="8">
        <v>9440</v>
      </c>
      <c r="F25" s="6" t="s">
        <v>22</v>
      </c>
      <c r="G25" s="6">
        <v>9</v>
      </c>
      <c r="H25" s="8">
        <v>720</v>
      </c>
      <c r="I25" s="6">
        <v>9</v>
      </c>
      <c r="J25" s="8">
        <v>720</v>
      </c>
      <c r="K25" s="6">
        <v>0</v>
      </c>
      <c r="L25" s="8">
        <v>0</v>
      </c>
      <c r="M25" s="8">
        <v>8000</v>
      </c>
    </row>
    <row r="26" spans="1:13" x14ac:dyDescent="0.25">
      <c r="A26" t="s">
        <v>41</v>
      </c>
      <c r="B26" t="s">
        <v>42</v>
      </c>
      <c r="C26" s="6">
        <v>75</v>
      </c>
      <c r="D26" s="7">
        <v>46204</v>
      </c>
      <c r="E26" s="8">
        <v>8260</v>
      </c>
      <c r="F26" s="6" t="s">
        <v>22</v>
      </c>
      <c r="G26" s="6">
        <v>9</v>
      </c>
      <c r="H26" s="8">
        <v>630</v>
      </c>
      <c r="I26" s="6">
        <v>9</v>
      </c>
      <c r="J26" s="8">
        <v>630</v>
      </c>
      <c r="K26" s="6">
        <v>0</v>
      </c>
      <c r="L26" s="8">
        <v>0</v>
      </c>
      <c r="M26" s="8">
        <v>7000</v>
      </c>
    </row>
    <row r="27" spans="1:13" s="1" customFormat="1" x14ac:dyDescent="0.25">
      <c r="B27" s="4" t="s">
        <v>52</v>
      </c>
      <c r="E27" s="10">
        <v>215795</v>
      </c>
      <c r="H27" s="10">
        <v>16460</v>
      </c>
      <c r="J27" s="10">
        <v>16460</v>
      </c>
      <c r="L27" s="10">
        <v>0</v>
      </c>
      <c r="M27" s="10">
        <v>182875</v>
      </c>
    </row>
    <row r="28" spans="1:13" x14ac:dyDescent="0.25">
      <c r="C28" s="4"/>
    </row>
    <row r="29" spans="1:13" s="1" customFormat="1" x14ac:dyDescent="0.25">
      <c r="B29" s="4" t="s">
        <v>53</v>
      </c>
      <c r="E29" s="10">
        <f>E11+E27</f>
        <v>264767</v>
      </c>
      <c r="H29" s="10">
        <f>H11+H27</f>
        <v>20196</v>
      </c>
      <c r="J29" s="10">
        <f>J11+J27</f>
        <v>20196</v>
      </c>
      <c r="M29" s="10">
        <f>M11+M27</f>
        <v>224375</v>
      </c>
    </row>
    <row r="30" spans="1:13" x14ac:dyDescent="0.25">
      <c r="C30" s="5" t="s">
        <v>43</v>
      </c>
    </row>
    <row r="31" spans="1:13" x14ac:dyDescent="0.25">
      <c r="B31" t="s">
        <v>44</v>
      </c>
      <c r="C31" s="6" t="s">
        <v>45</v>
      </c>
      <c r="D31" s="7">
        <v>46204</v>
      </c>
      <c r="E31" s="8">
        <v>13500</v>
      </c>
      <c r="F31" s="6"/>
      <c r="G31" s="6">
        <v>0</v>
      </c>
      <c r="H31" s="8">
        <v>0</v>
      </c>
      <c r="I31" s="6">
        <v>0</v>
      </c>
      <c r="J31" s="8">
        <v>0</v>
      </c>
      <c r="K31" s="6">
        <v>0</v>
      </c>
      <c r="L31" s="8">
        <v>0</v>
      </c>
      <c r="M31" s="8">
        <v>13500</v>
      </c>
    </row>
    <row r="32" spans="1:13" x14ac:dyDescent="0.25">
      <c r="B32" s="9" t="s">
        <v>46</v>
      </c>
      <c r="C32" s="6" t="s">
        <v>47</v>
      </c>
      <c r="D32" s="7">
        <v>46204</v>
      </c>
      <c r="E32" s="8">
        <v>24000</v>
      </c>
      <c r="F32" s="6"/>
      <c r="G32" s="6">
        <v>0</v>
      </c>
      <c r="H32" s="8">
        <v>0</v>
      </c>
      <c r="I32" s="6">
        <v>0</v>
      </c>
      <c r="J32" s="8">
        <v>0</v>
      </c>
      <c r="K32" s="6">
        <v>0</v>
      </c>
      <c r="L32" s="8">
        <v>0</v>
      </c>
      <c r="M32" s="8">
        <v>24000</v>
      </c>
    </row>
    <row r="33" spans="2:13" x14ac:dyDescent="0.25">
      <c r="B33" s="9" t="s">
        <v>48</v>
      </c>
      <c r="C33" s="6" t="s">
        <v>49</v>
      </c>
      <c r="D33" s="7">
        <v>46204</v>
      </c>
      <c r="E33" s="8">
        <v>17000</v>
      </c>
      <c r="F33" s="6"/>
      <c r="G33" s="6">
        <v>0</v>
      </c>
      <c r="H33" s="8">
        <v>0</v>
      </c>
      <c r="I33" s="6">
        <v>0</v>
      </c>
      <c r="J33" s="8">
        <v>0</v>
      </c>
      <c r="K33" s="6">
        <v>0</v>
      </c>
      <c r="L33" s="8">
        <v>0</v>
      </c>
      <c r="M33" s="8">
        <v>17000</v>
      </c>
    </row>
    <row r="34" spans="2:13" s="1" customFormat="1" x14ac:dyDescent="0.25">
      <c r="B34" s="4" t="s">
        <v>54</v>
      </c>
      <c r="E34" s="10">
        <v>54500</v>
      </c>
      <c r="H34" s="10">
        <v>0</v>
      </c>
      <c r="J34" s="10">
        <v>0</v>
      </c>
      <c r="L34" s="10">
        <v>0</v>
      </c>
      <c r="M34" s="10">
        <v>54500</v>
      </c>
    </row>
    <row r="36" spans="2:13" s="1" customFormat="1" x14ac:dyDescent="0.25">
      <c r="B36" s="4" t="s">
        <v>55</v>
      </c>
      <c r="E36" s="10">
        <v>319267</v>
      </c>
      <c r="H36" s="10">
        <v>20196</v>
      </c>
      <c r="J36" s="10">
        <v>20196</v>
      </c>
      <c r="L36" s="10">
        <v>0</v>
      </c>
      <c r="M36" s="10">
        <v>278875</v>
      </c>
    </row>
  </sheetData>
  <pageMargins left="0.59055118110236227" right="0.19685039370078741" top="0.59055118110236227" bottom="0.39370078740157483" header="0.31496062992125984" footer="0.31496062992125984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2026-08-04T07:11:12Z</cp:lastPrinted>
  <dcterms:created xsi:type="dcterms:W3CDTF">2026-07-24T09:39:03Z</dcterms:created>
  <dcterms:modified xsi:type="dcterms:W3CDTF">2026-08-04T07:14:45Z</dcterms:modified>
</cp:coreProperties>
</file>